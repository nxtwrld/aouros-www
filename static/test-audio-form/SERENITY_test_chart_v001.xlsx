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herrmann/Desktop/NABERIUS/dotaznik/"/>
    </mc:Choice>
  </mc:AlternateContent>
  <xr:revisionPtr revIDLastSave="0" documentId="13_ncr:1_{50537DCB-E263-894A-A0E1-5829824912E5}" xr6:coauthVersionLast="47" xr6:coauthVersionMax="47" xr10:uidLastSave="{00000000-0000-0000-0000-000000000000}"/>
  <bookViews>
    <workbookView xWindow="1380" yWindow="1660" windowWidth="31880" windowHeight="17720" xr2:uid="{08A2B336-2B32-B249-A7C7-ABAD90D5D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H12" i="1"/>
  <c r="I12" i="1"/>
  <c r="J12" i="1"/>
  <c r="C12" i="1"/>
  <c r="J13" i="1" l="1"/>
  <c r="H13" i="1"/>
  <c r="F13" i="1"/>
  <c r="D13" i="1"/>
</calcChain>
</file>

<file path=xl/sharedStrings.xml><?xml version="1.0" encoding="utf-8"?>
<sst xmlns="http://schemas.openxmlformats.org/spreadsheetml/2006/main" count="40" uniqueCount="34">
  <si>
    <t>PRE</t>
  </si>
  <si>
    <t>vyraz obliceje</t>
  </si>
  <si>
    <t>pohyb oci</t>
  </si>
  <si>
    <t>pohyb tela</t>
  </si>
  <si>
    <t>vokalizace</t>
  </si>
  <si>
    <t>zapojeni do prostredi</t>
  </si>
  <si>
    <t>POST</t>
  </si>
  <si>
    <t>Score</t>
  </si>
  <si>
    <t>klidný, uvolněný</t>
  </si>
  <si>
    <t>mírné grimasy, sevřené rty</t>
  </si>
  <si>
    <t>výrazná bolest, napětí, svraštěné čelo</t>
  </si>
  <si>
    <t>Result</t>
  </si>
  <si>
    <t>klidný pohled, zájem o prostředí</t>
  </si>
  <si>
    <t>občasné těkání, nejistota</t>
  </si>
  <si>
    <t>výrazně neklidné, zavírání očí, vyhýbání pohledu</t>
  </si>
  <si>
    <t>klidný, bez známek neklidu</t>
  </si>
  <si>
    <t>občasné drobné pohyby, neklid rukou/nohou</t>
  </si>
  <si>
    <t>časté pohyby, výrazný neklid, napětí svalů</t>
  </si>
  <si>
    <t>klidné dýchání, bez zvuků</t>
  </si>
  <si>
    <t>občasné povzdechy, mírná změna dechu</t>
  </si>
  <si>
    <t>časté sténání, výrazně nepravidelné dýchání</t>
  </si>
  <si>
    <t>zájem, sleduje obrazovku, reaguje</t>
  </si>
  <si>
    <t>krátkodobá pozornost, občasný nezájem</t>
  </si>
  <si>
    <t>žádná reakce, odmítání, odvracení</t>
  </si>
  <si>
    <t>0 points</t>
  </si>
  <si>
    <t>1 point</t>
  </si>
  <si>
    <t>2 points</t>
  </si>
  <si>
    <t>Chart Score</t>
  </si>
  <si>
    <t xml:space="preserve">SERENITY </t>
  </si>
  <si>
    <t xml:space="preserve">Observacni test </t>
  </si>
  <si>
    <t>1 Tomasek</t>
  </si>
  <si>
    <t>2 Martinka</t>
  </si>
  <si>
    <t>3 Betka</t>
  </si>
  <si>
    <t>4 Kacka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</si>
</sst>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3" fillId="0" borderId="0" xfId="0" applyFont="1"/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0" fillId="0" borderId="9" xfId="0" applyBorder="1"/>
    <xf numFmtId="0" fontId="0" fillId="0" borderId="8" xfId="0" applyBorder="1"/>
    <xf numFmtId="0" fontId="3" fillId="0" borderId="8" xfId="0" applyFont="1" applyBorder="1"/>
    <xf numFmtId="0" fontId="3" fillId="0" borderId="10" xfId="0" applyFont="1" applyBorder="1"/>
    <xf numFmtId="0" fontId="3" fillId="0" borderId="5" xfId="0" applyFont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3" fillId="0" borderId="4" xfId="0" applyFont="1" applyBorder="1"/>
    <xf numFmtId="0" fontId="0" fillId="0" borderId="11" xfId="0" applyBorder="1"/>
    <xf numFmtId="0" fontId="3" fillId="0" borderId="12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778B-5A77-FB43-8779-F199DF04E68A}">
  <dimension ref="B2:N14"/>
  <sheetViews>
    <sheetView tabSelected="1" zoomScale="115" workbookViewId="0">
      <selection activeCell="H20" sqref="H20"/>
    </sheetView>
  </sheetViews>
  <sheetFormatPr baseColWidth="10" defaultRowHeight="16" x14ac:dyDescent="0.2"/>
  <cols>
    <col min="2" max="2" width="17.33203125" customWidth="1"/>
    <col min="12" max="12" width="27.33203125" customWidth="1"/>
    <col min="13" max="13" width="37.1640625" customWidth="1"/>
    <col min="14" max="14" width="32.1640625" customWidth="1"/>
  </cols>
  <sheetData>
    <row r="2" spans="2:14" ht="17" thickBot="1" x14ac:dyDescent="0.25"/>
    <row r="3" spans="2:14" ht="23" thickTop="1" x14ac:dyDescent="0.3">
      <c r="B3" s="6" t="s">
        <v>28</v>
      </c>
      <c r="C3" s="14" t="s">
        <v>0</v>
      </c>
      <c r="D3" s="7" t="s">
        <v>6</v>
      </c>
      <c r="E3" s="7" t="s">
        <v>0</v>
      </c>
      <c r="F3" s="7" t="s">
        <v>6</v>
      </c>
      <c r="G3" s="7" t="s">
        <v>0</v>
      </c>
      <c r="H3" s="7" t="s">
        <v>6</v>
      </c>
      <c r="I3" s="7" t="s">
        <v>0</v>
      </c>
      <c r="J3" s="8" t="s">
        <v>6</v>
      </c>
      <c r="L3" s="3" t="s">
        <v>27</v>
      </c>
    </row>
    <row r="4" spans="2:14" x14ac:dyDescent="0.2">
      <c r="B4" s="9" t="s">
        <v>29</v>
      </c>
      <c r="C4" s="11"/>
      <c r="J4" s="10"/>
    </row>
    <row r="5" spans="2:14" ht="23" thickBot="1" x14ac:dyDescent="0.35">
      <c r="B5" s="16"/>
      <c r="C5" s="13" t="s">
        <v>30</v>
      </c>
      <c r="D5" s="17"/>
      <c r="E5" s="17" t="s">
        <v>31</v>
      </c>
      <c r="F5" s="17"/>
      <c r="G5" s="17" t="s">
        <v>32</v>
      </c>
      <c r="H5" s="17"/>
      <c r="I5" s="17" t="s">
        <v>33</v>
      </c>
      <c r="J5" s="18"/>
      <c r="L5" s="3" t="s">
        <v>24</v>
      </c>
      <c r="M5" s="3" t="s">
        <v>25</v>
      </c>
      <c r="N5" s="3" t="s">
        <v>26</v>
      </c>
    </row>
    <row r="6" spans="2:14" ht="23" thickTop="1" x14ac:dyDescent="0.3">
      <c r="B6" s="12" t="s">
        <v>1</v>
      </c>
      <c r="C6" s="22">
        <v>2</v>
      </c>
      <c r="D6" s="23">
        <v>1</v>
      </c>
      <c r="E6" s="24">
        <v>2</v>
      </c>
      <c r="F6" s="23">
        <v>0</v>
      </c>
      <c r="G6" s="24">
        <v>1</v>
      </c>
      <c r="H6" s="23">
        <v>0</v>
      </c>
      <c r="I6" s="24">
        <v>0</v>
      </c>
      <c r="J6" s="25">
        <v>1</v>
      </c>
      <c r="L6" s="1" t="s">
        <v>8</v>
      </c>
      <c r="M6" t="s">
        <v>9</v>
      </c>
      <c r="N6" t="s">
        <v>10</v>
      </c>
    </row>
    <row r="7" spans="2:14" ht="22" x14ac:dyDescent="0.3">
      <c r="B7" s="12" t="s">
        <v>2</v>
      </c>
      <c r="C7" s="26">
        <v>2</v>
      </c>
      <c r="D7" s="27">
        <v>1</v>
      </c>
      <c r="E7" s="28">
        <v>2</v>
      </c>
      <c r="F7" s="27">
        <v>0</v>
      </c>
      <c r="G7" s="28">
        <v>0</v>
      </c>
      <c r="H7" s="27">
        <v>1</v>
      </c>
      <c r="I7" s="28">
        <v>0</v>
      </c>
      <c r="J7" s="4">
        <v>0</v>
      </c>
      <c r="L7" s="2" t="s">
        <v>12</v>
      </c>
      <c r="M7" s="2" t="s">
        <v>13</v>
      </c>
      <c r="N7" s="2" t="s">
        <v>14</v>
      </c>
    </row>
    <row r="8" spans="2:14" ht="22" x14ac:dyDescent="0.3">
      <c r="B8" s="12" t="s">
        <v>3</v>
      </c>
      <c r="C8" s="26">
        <v>2</v>
      </c>
      <c r="D8" s="27">
        <v>1</v>
      </c>
      <c r="E8" s="28">
        <v>2</v>
      </c>
      <c r="F8" s="27">
        <v>0</v>
      </c>
      <c r="G8" s="28">
        <v>2</v>
      </c>
      <c r="H8" s="27">
        <v>0</v>
      </c>
      <c r="I8" s="28">
        <v>2</v>
      </c>
      <c r="J8" s="4">
        <v>0</v>
      </c>
      <c r="L8" s="2" t="s">
        <v>15</v>
      </c>
      <c r="M8" s="2" t="s">
        <v>16</v>
      </c>
      <c r="N8" s="2" t="s">
        <v>17</v>
      </c>
    </row>
    <row r="9" spans="2:14" ht="22" x14ac:dyDescent="0.3">
      <c r="B9" s="12" t="s">
        <v>4</v>
      </c>
      <c r="C9" s="26">
        <v>2</v>
      </c>
      <c r="D9" s="27">
        <v>1</v>
      </c>
      <c r="E9" s="28">
        <v>2</v>
      </c>
      <c r="F9" s="27">
        <v>0</v>
      </c>
      <c r="G9" s="28">
        <v>2</v>
      </c>
      <c r="H9" s="27">
        <v>1</v>
      </c>
      <c r="I9" s="28">
        <v>2</v>
      </c>
      <c r="J9" s="4">
        <v>0</v>
      </c>
      <c r="L9" s="1" t="s">
        <v>18</v>
      </c>
      <c r="M9" s="2" t="s">
        <v>19</v>
      </c>
      <c r="N9" s="2" t="s">
        <v>20</v>
      </c>
    </row>
    <row r="10" spans="2:14" ht="22" x14ac:dyDescent="0.3">
      <c r="B10" s="12" t="s">
        <v>5</v>
      </c>
      <c r="C10" s="26">
        <v>2</v>
      </c>
      <c r="D10" s="27">
        <v>1</v>
      </c>
      <c r="E10" s="28">
        <v>2</v>
      </c>
      <c r="F10" s="27">
        <v>0</v>
      </c>
      <c r="G10" s="28">
        <v>0</v>
      </c>
      <c r="H10" s="27">
        <v>0</v>
      </c>
      <c r="I10" s="28">
        <v>2</v>
      </c>
      <c r="J10" s="4">
        <v>0</v>
      </c>
      <c r="L10" s="2" t="s">
        <v>21</v>
      </c>
      <c r="M10" s="1" t="s">
        <v>22</v>
      </c>
      <c r="N10" s="2" t="s">
        <v>23</v>
      </c>
    </row>
    <row r="11" spans="2:14" ht="23" thickBot="1" x14ac:dyDescent="0.35">
      <c r="B11" s="12"/>
      <c r="C11" s="29"/>
      <c r="D11" s="30"/>
      <c r="E11" s="31"/>
      <c r="F11" s="30"/>
      <c r="G11" s="31"/>
      <c r="H11" s="30"/>
      <c r="I11" s="31"/>
      <c r="J11" s="32"/>
    </row>
    <row r="12" spans="2:14" ht="24" thickTop="1" thickBot="1" x14ac:dyDescent="0.35">
      <c r="B12" s="19" t="s">
        <v>7</v>
      </c>
      <c r="C12" s="34">
        <f>SUM(C6:C10)</f>
        <v>10</v>
      </c>
      <c r="D12" s="20">
        <f t="shared" ref="D12:J12" si="0">SUM(D6:D10)</f>
        <v>5</v>
      </c>
      <c r="E12" s="33">
        <f t="shared" si="0"/>
        <v>10</v>
      </c>
      <c r="F12" s="20">
        <f t="shared" si="0"/>
        <v>0</v>
      </c>
      <c r="G12" s="33">
        <f t="shared" si="0"/>
        <v>5</v>
      </c>
      <c r="H12" s="20">
        <f t="shared" si="0"/>
        <v>2</v>
      </c>
      <c r="I12" s="33">
        <f t="shared" si="0"/>
        <v>6</v>
      </c>
      <c r="J12" s="21">
        <f t="shared" si="0"/>
        <v>1</v>
      </c>
    </row>
    <row r="13" spans="2:14" ht="24" thickTop="1" thickBot="1" x14ac:dyDescent="0.35">
      <c r="B13" s="13" t="s">
        <v>11</v>
      </c>
      <c r="C13" s="15"/>
      <c r="D13" s="35">
        <f>C12-D12</f>
        <v>5</v>
      </c>
      <c r="E13" s="5"/>
      <c r="F13" s="35">
        <f>E12-F12</f>
        <v>10</v>
      </c>
      <c r="G13" s="5"/>
      <c r="H13" s="35">
        <f>G12-H12</f>
        <v>3</v>
      </c>
      <c r="I13" s="5"/>
      <c r="J13" s="35">
        <f>I12-J12</f>
        <v>5</v>
      </c>
    </row>
    <row r="14" spans="2:14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Herrmann</dc:creator>
  <cp:lastModifiedBy>Lukas Herrmann</cp:lastModifiedBy>
  <dcterms:created xsi:type="dcterms:W3CDTF">2025-11-15T14:33:39Z</dcterms:created>
  <dcterms:modified xsi:type="dcterms:W3CDTF">2025-11-15T15:49:45Z</dcterms:modified>
</cp:coreProperties>
</file>